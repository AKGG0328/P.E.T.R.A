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_2\AppData\Roaming\JetBrains\DataSpell2026.1\projects\workspace\Project_PETRA\"/>
    </mc:Choice>
  </mc:AlternateContent>
  <xr:revisionPtr revIDLastSave="0" documentId="13_ncr:1_{22CE5D77-EFBD-499B-9315-22C0FD1BE1F5}" xr6:coauthVersionLast="47" xr6:coauthVersionMax="47" xr10:uidLastSave="{00000000-0000-0000-0000-000000000000}"/>
  <bookViews>
    <workbookView xWindow="4215" yWindow="0" windowWidth="24600" windowHeight="15585" xr2:uid="{44EF8C3A-055F-4469-BCDE-5013902B3671}"/>
  </bookViews>
  <sheets>
    <sheet name="工作表1" sheetId="1" r:id="rId1"/>
    <sheet name="工作表2" sheetId="2" r:id="rId2"/>
    <sheet name="工作表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J2" i="1"/>
  <c r="I2" i="1"/>
  <c r="D2" i="1"/>
  <c r="E2" i="1"/>
  <c r="C2" i="1"/>
  <c r="B32" i="3"/>
  <c r="D32" i="3" s="1"/>
  <c r="B31" i="3"/>
  <c r="D31" i="3" s="1"/>
  <c r="B30" i="3"/>
  <c r="D30" i="3" s="1"/>
  <c r="C30" i="3" l="1"/>
  <c r="C32" i="3"/>
  <c r="C31" i="3"/>
</calcChain>
</file>

<file path=xl/sharedStrings.xml><?xml version="1.0" encoding="utf-8"?>
<sst xmlns="http://schemas.openxmlformats.org/spreadsheetml/2006/main" count="47" uniqueCount="37">
  <si>
    <t>Substrate</t>
    <phoneticPr fontId="1" type="noConversion"/>
  </si>
  <si>
    <t>39um</t>
    <phoneticPr fontId="1" type="noConversion"/>
  </si>
  <si>
    <t>9um</t>
    <phoneticPr fontId="1" type="noConversion"/>
  </si>
  <si>
    <t>US_Parameter</t>
    <phoneticPr fontId="1" type="noConversion"/>
  </si>
  <si>
    <t>36mVpp,100%</t>
  </si>
  <si>
    <t>360mVpp,1%</t>
  </si>
  <si>
    <t>72mVpp,45%</t>
  </si>
  <si>
    <t>392mVpp,1.5%</t>
  </si>
  <si>
    <t>main effect</t>
    <phoneticPr fontId="1" type="noConversion"/>
  </si>
  <si>
    <t>Term</t>
  </si>
  <si>
    <t>Df</t>
  </si>
  <si>
    <t>Df.res</t>
  </si>
  <si>
    <t>Sum Sq</t>
  </si>
  <si>
    <t>Sum Sq.res</t>
  </si>
  <si>
    <t>F value</t>
  </si>
  <si>
    <t>Pr(&gt;F)</t>
  </si>
  <si>
    <t>sig</t>
  </si>
  <si>
    <t>Height</t>
    <phoneticPr fontId="1" type="noConversion"/>
  </si>
  <si>
    <t>US_Parameter</t>
  </si>
  <si>
    <t>Interaction</t>
  </si>
  <si>
    <t>post-hoc</t>
    <phoneticPr fontId="1" type="noConversion"/>
  </si>
  <si>
    <t>contrast</t>
  </si>
  <si>
    <t>estimate</t>
  </si>
  <si>
    <t>SE</t>
  </si>
  <si>
    <t>df</t>
  </si>
  <si>
    <t>t.ratio</t>
  </si>
  <si>
    <t>p.value</t>
  </si>
  <si>
    <t>p.adj_FDR</t>
  </si>
  <si>
    <t>type</t>
  </si>
  <si>
    <t>Source of Variation</t>
    <phoneticPr fontId="1" type="noConversion"/>
  </si>
  <si>
    <t>P value</t>
  </si>
  <si>
    <t>Summary</t>
  </si>
  <si>
    <t>Significant ?</t>
  </si>
  <si>
    <t>US_parameter</t>
  </si>
  <si>
    <t>Glass</t>
    <phoneticPr fontId="1" type="noConversion"/>
  </si>
  <si>
    <t>Quartz</t>
    <phoneticPr fontId="1" type="noConversion"/>
  </si>
  <si>
    <t>39um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</si>
</sst>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b/>
      <sz val="11"/>
      <color theme="1"/>
      <name val="新細明體"/>
      <family val="2"/>
      <scheme val="minor"/>
    </font>
    <font>
      <sz val="10"/>
      <color rgb="FF000000"/>
      <name val="Times New Roman"/>
      <family val="1"/>
    </font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4" fillId="0" borderId="1" xfId="0" applyFont="1" applyBorder="1" applyAlignment="1">
      <alignment horizontal="left" wrapText="1" readingOrder="1"/>
    </xf>
    <xf numFmtId="0" fontId="5" fillId="0" borderId="0" xfId="1"/>
    <xf numFmtId="0" fontId="3" fillId="0" borderId="0" xfId="1" applyFont="1" applyAlignment="1">
      <alignment horizontal="center"/>
    </xf>
    <xf numFmtId="0" fontId="4" fillId="2" borderId="2" xfId="0" applyFont="1" applyFill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wrapText="1" readingOrder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>
      <alignment vertical="center"/>
    </xf>
  </cellXfs>
  <cellStyles count="2">
    <cellStyle name="一般" xfId="0" builtinId="0"/>
    <cellStyle name="一般 2" xfId="1" xr:uid="{C81A79D3-9022-4CA4-A5C1-1749776883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D0BE-30DD-4531-95EF-BD13F453B8B1}">
  <dimension ref="A2:N5"/>
  <sheetViews>
    <sheetView tabSelected="1" workbookViewId="0">
      <selection activeCell="E17" sqref="E17:E18"/>
    </sheetView>
  </sheetViews>
  <sheetFormatPr defaultRowHeight="16.5" x14ac:dyDescent="0.25"/>
  <cols>
    <col min="1" max="1" width="12.875" bestFit="1" customWidth="1"/>
    <col min="2" max="2" width="12.375" bestFit="1" customWidth="1"/>
    <col min="3" max="4" width="11.375" bestFit="1" customWidth="1"/>
    <col min="5" max="5" width="12.875" bestFit="1" customWidth="1"/>
    <col min="7" max="7" width="12.875" bestFit="1" customWidth="1"/>
    <col min="8" max="8" width="12.375" bestFit="1" customWidth="1"/>
    <col min="9" max="10" width="11.375" bestFit="1" customWidth="1"/>
    <col min="11" max="11" width="12.875" bestFit="1" customWidth="1"/>
  </cols>
  <sheetData>
    <row r="2" spans="1:14" x14ac:dyDescent="0.25">
      <c r="A2" t="s">
        <v>0</v>
      </c>
      <c r="B2" t="s">
        <v>36</v>
      </c>
      <c r="C2" t="str">
        <f>$B$2</f>
        <v>39um</v>
      </c>
      <c r="D2" t="str">
        <f t="shared" ref="D2:E2" si="0">$B$2</f>
        <v>39um</v>
      </c>
      <c r="E2" t="str">
        <f t="shared" si="0"/>
        <v>39um</v>
      </c>
      <c r="G2" t="s">
        <v>0</v>
      </c>
      <c r="H2" t="s">
        <v>2</v>
      </c>
      <c r="I2" t="str">
        <f>$H$2</f>
        <v>9um</v>
      </c>
      <c r="J2" t="str">
        <f>$H$2</f>
        <v>9um</v>
      </c>
      <c r="K2" t="str">
        <f>$H$2</f>
        <v>9um</v>
      </c>
      <c r="N2" t="s">
        <v>1</v>
      </c>
    </row>
    <row r="3" spans="1:14" x14ac:dyDescent="0.2">
      <c r="A3" t="s">
        <v>3</v>
      </c>
      <c r="B3" s="1" t="s">
        <v>4</v>
      </c>
      <c r="C3" s="1" t="s">
        <v>5</v>
      </c>
      <c r="D3" s="1" t="s">
        <v>6</v>
      </c>
      <c r="E3" s="1" t="s">
        <v>7</v>
      </c>
      <c r="G3" t="s">
        <v>3</v>
      </c>
      <c r="H3" s="1" t="s">
        <v>4</v>
      </c>
      <c r="I3" s="1" t="s">
        <v>5</v>
      </c>
      <c r="J3" s="1" t="s">
        <v>6</v>
      </c>
      <c r="K3" s="1" t="s">
        <v>7</v>
      </c>
      <c r="N3" t="s">
        <v>2</v>
      </c>
    </row>
    <row r="4" spans="1:14" x14ac:dyDescent="0.25">
      <c r="N4" t="s">
        <v>34</v>
      </c>
    </row>
    <row r="5" spans="1:14" x14ac:dyDescent="0.25">
      <c r="N5" t="s">
        <v>35</v>
      </c>
    </row>
  </sheetData>
  <phoneticPr fontId="1" type="noConversion"/>
  <dataValidations count="1">
    <dataValidation type="list" allowBlank="1" showInputMessage="1" showErrorMessage="1" sqref="B2 H2" xr:uid="{BEA6820B-35D6-4A19-BC6E-25C50C92E8EF}">
      <formula1>$N$2:$N$5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9F66-B9DF-47BA-80E4-D209CD182A91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B05E-C746-412C-804D-B8E54F274E95}">
  <dimension ref="A2:I32"/>
  <sheetViews>
    <sheetView workbookViewId="0">
      <selection sqref="A1:I32"/>
    </sheetView>
  </sheetViews>
  <sheetFormatPr defaultRowHeight="16.5" x14ac:dyDescent="0.25"/>
  <cols>
    <col min="1" max="1" width="20" customWidth="1"/>
  </cols>
  <sheetData>
    <row r="2" spans="1:9" x14ac:dyDescent="0.25">
      <c r="A2" t="s">
        <v>8</v>
      </c>
    </row>
    <row r="3" spans="1:9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9" x14ac:dyDescent="0.25">
      <c r="A4" s="3" t="s">
        <v>17</v>
      </c>
      <c r="B4" s="3"/>
      <c r="C4" s="3"/>
      <c r="D4" s="3"/>
      <c r="E4" s="3"/>
      <c r="F4" s="3"/>
      <c r="G4" s="3"/>
      <c r="H4" s="3"/>
    </row>
    <row r="5" spans="1:9" ht="17.25" thickBot="1" x14ac:dyDescent="0.3">
      <c r="A5" s="3" t="s">
        <v>18</v>
      </c>
      <c r="B5" s="3"/>
      <c r="C5" s="3"/>
      <c r="D5" s="3"/>
      <c r="E5" s="3"/>
      <c r="F5" s="3"/>
      <c r="G5" s="3"/>
      <c r="H5" s="3"/>
    </row>
    <row r="6" spans="1:9" ht="17.25" thickBot="1" x14ac:dyDescent="0.3">
      <c r="A6" s="4" t="s">
        <v>19</v>
      </c>
      <c r="B6" s="3"/>
      <c r="C6" s="3"/>
      <c r="D6" s="3"/>
      <c r="E6" s="3"/>
      <c r="F6" s="3"/>
      <c r="G6" s="3"/>
      <c r="H6" s="3"/>
    </row>
    <row r="8" spans="1:9" x14ac:dyDescent="0.25">
      <c r="A8" s="5" t="s">
        <v>20</v>
      </c>
    </row>
    <row r="9" spans="1:9" x14ac:dyDescent="0.25">
      <c r="A9" s="6"/>
      <c r="B9" s="6"/>
      <c r="C9" s="6"/>
      <c r="D9" s="6"/>
      <c r="E9" s="6"/>
      <c r="F9" s="6"/>
      <c r="G9" s="6"/>
    </row>
    <row r="10" spans="1:9" x14ac:dyDescent="0.25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16</v>
      </c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ht="25.5" x14ac:dyDescent="0.25">
      <c r="A29" s="7" t="s">
        <v>29</v>
      </c>
      <c r="B29" s="7" t="s">
        <v>30</v>
      </c>
      <c r="C29" s="7" t="s">
        <v>31</v>
      </c>
      <c r="D29" s="7" t="s">
        <v>32</v>
      </c>
      <c r="E29" s="5"/>
      <c r="F29" s="5"/>
      <c r="G29" s="5"/>
      <c r="H29" s="5"/>
      <c r="I29" s="5"/>
    </row>
    <row r="30" spans="1:9" x14ac:dyDescent="0.25">
      <c r="A30" s="8" t="s">
        <v>19</v>
      </c>
      <c r="B30" s="9">
        <f>VLOOKUP(A30, $A$4:$G$6, 7, FALSE)</f>
        <v>0</v>
      </c>
      <c r="C30" s="9" t="str">
        <f>IF(B30&lt;0.001, "****", IF(B30&lt;0.01, "**", IF(B30&lt;0.05, "*", "ns")))</f>
        <v>****</v>
      </c>
      <c r="D30" s="10" t="str">
        <f>IF(B30 &lt; 0.05, "Yes", "No")</f>
        <v>Yes</v>
      </c>
      <c r="E30" s="5"/>
      <c r="F30" s="5"/>
      <c r="G30" s="5"/>
      <c r="H30" s="5"/>
      <c r="I30" s="5"/>
    </row>
    <row r="31" spans="1:9" ht="26.25" x14ac:dyDescent="0.25">
      <c r="A31" s="8" t="s">
        <v>33</v>
      </c>
      <c r="B31" s="9">
        <f>VLOOKUP(A31, $A$4:$G$6, 7, FALSE)</f>
        <v>0</v>
      </c>
      <c r="C31" s="9" t="str">
        <f t="shared" ref="C31:C32" si="0">IF(B31&lt;0.001, "****", IF(B31&lt;0.01, "**", IF(B31&lt;0.05, "*", "ns")))</f>
        <v>****</v>
      </c>
      <c r="D31" s="10" t="str">
        <f t="shared" ref="D31:D32" si="1">IF(B31 &lt; 0.05, "Yes", "No")</f>
        <v>Yes</v>
      </c>
      <c r="E31" s="5"/>
      <c r="F31" s="5"/>
      <c r="G31" s="5"/>
      <c r="H31" s="5"/>
      <c r="I31" s="5"/>
    </row>
    <row r="32" spans="1:9" x14ac:dyDescent="0.25">
      <c r="A32" s="8" t="s">
        <v>17</v>
      </c>
      <c r="B32" s="9">
        <f>VLOOKUP(A32, $A$4:$G$6, 7, FALSE)</f>
        <v>0</v>
      </c>
      <c r="C32" s="9" t="str">
        <f t="shared" si="0"/>
        <v>****</v>
      </c>
      <c r="D32" s="10" t="str">
        <f t="shared" si="1"/>
        <v>Yes</v>
      </c>
      <c r="E32" s="5"/>
      <c r="F32" s="5"/>
      <c r="G32" s="5"/>
      <c r="H32" s="5"/>
      <c r="I32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2026-04-24T04:52:56Z</dcterms:created>
  <dcterms:modified xsi:type="dcterms:W3CDTF">2026-06-02T03:32:03Z</dcterms:modified>
</cp:coreProperties>
</file>